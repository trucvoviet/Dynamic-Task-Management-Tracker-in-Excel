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<sst xmlns="http://schemas.openxmlformats.org/spreadsheetml/2006/main" count="24" uniqueCount="23">
  <si>
    <t>Habits Start Date</t>
  </si>
  <si>
    <t>100% Complete</t>
  </si>
  <si>
    <t>Best Habit</t>
  </si>
  <si>
    <t>50% Complete</t>
  </si>
  <si>
    <t>Worst Habit</t>
  </si>
  <si>
    <t>0% Complete</t>
  </si>
  <si>
    <t>WEEK 1</t>
  </si>
  <si>
    <t>WEEK 2</t>
  </si>
  <si>
    <t>WEEK 3</t>
  </si>
  <si>
    <t>Habit Names</t>
  </si>
  <si>
    <t>Total Completed</t>
  </si>
  <si>
    <t>Daily Exercise</t>
  </si>
  <si>
    <t>Bed Before 11pm</t>
  </si>
  <si>
    <t>Drink Protein</t>
  </si>
  <si>
    <t>Eat Vegetables</t>
  </si>
  <si>
    <t>Call Grandparents</t>
  </si>
  <si>
    <t>No Snacks</t>
  </si>
  <si>
    <t>Do Homework</t>
  </si>
  <si>
    <t>Water Plants</t>
  </si>
  <si>
    <t>Read 10+ Pages</t>
  </si>
  <si>
    <t>Make Bed</t>
  </si>
  <si>
    <t>Completed Task</t>
  </si>
  <si>
    <t>% Completion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</si>
</sst>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# &quot;day(s)&quot;"/>
    <numFmt numFmtId="166" formatCode="ddd"/>
  </numFmts>
  <fonts count="6">
    <font>
      <sz val="10.0"/>
      <color rgb="FF000000"/>
      <name val="Georgia"/>
      <scheme val="minor"/>
    </font>
    <font>
      <b/>
      <color rgb="FFFFFFFF"/>
      <name val="Georgia"/>
      <scheme val="minor"/>
    </font>
    <font>
      <color theme="1"/>
      <name val="Georgia"/>
      <scheme val="minor"/>
    </font>
    <font>
      <sz val="9.0"/>
      <color rgb="FF93C47D"/>
      <name val="Georgia"/>
      <scheme val="minor"/>
    </font>
    <font>
      <b/>
      <color rgb="FF6AA84F"/>
      <name val="Impact"/>
    </font>
    <font>
      <color rgb="FFFFFFFF"/>
      <name val="Georgia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3C78D8"/>
        <bgColor rgb="FF3C78D8"/>
      </patternFill>
    </fill>
    <fill>
      <patternFill patternType="solid">
        <fgColor rgb="FF6D9EEB"/>
        <bgColor rgb="FF6D9EEB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2" numFmtId="0" xfId="0" applyAlignment="1" applyFont="1">
      <alignment horizontal="left"/>
    </xf>
    <xf borderId="0" fillId="2" fontId="1" numFmtId="0" xfId="0" applyAlignment="1" applyFont="1">
      <alignment horizontal="left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2" fontId="2" numFmtId="0" xfId="0" applyAlignment="1" applyFont="1">
      <alignment horizontal="left"/>
    </xf>
    <xf borderId="0" fillId="0" fontId="2" numFmtId="166" xfId="0" applyAlignment="1" applyFont="1" applyNumberFormat="1">
      <alignment horizontal="center"/>
    </xf>
    <xf borderId="0" fillId="2" fontId="1" numFmtId="166" xfId="0" applyAlignment="1" applyFont="1" applyNumberFormat="1">
      <alignment horizontal="center"/>
    </xf>
    <xf borderId="0" fillId="3" fontId="1" numFmtId="166" xfId="0" applyAlignment="1" applyFont="1" applyNumberFormat="1">
      <alignment horizontal="center"/>
    </xf>
    <xf borderId="0" fillId="4" fontId="1" numFmtId="166" xfId="0" applyAlignment="1" applyFont="1" applyNumberFormat="1">
      <alignment horizontal="center"/>
    </xf>
    <xf borderId="0" fillId="2" fontId="2" numFmtId="166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3" fontId="1" numFmtId="0" xfId="0" applyAlignment="1" applyFont="1">
      <alignment horizontal="center"/>
    </xf>
    <xf borderId="0" fillId="4" fontId="1" numFmtId="0" xfId="0" applyAlignment="1" applyFont="1">
      <alignment horizontal="center"/>
    </xf>
    <xf borderId="0" fillId="2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2" numFmtId="0" xfId="0" applyFont="1"/>
    <xf borderId="0" fillId="0" fontId="4" numFmtId="0" xfId="0" applyFont="1"/>
    <xf borderId="0" fillId="0" fontId="5" numFmtId="0" xfId="0" applyFont="1"/>
    <xf borderId="0" fillId="0" fontId="5" numFmtId="0" xfId="0" applyAlignment="1" applyFont="1">
      <alignment readingOrder="0"/>
    </xf>
    <xf borderId="0" fillId="0" fontId="5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43443446949947895"/>
          <c:y val="0.03757225433526028"/>
          <c:w val="0.9479642694212722"/>
          <c:h val="0.8801156069364163"/>
        </c:manualLayout>
      </c:layout>
      <c:lineChart>
        <c:varyColors val="0"/>
        <c:ser>
          <c:idx val="0"/>
          <c:order val="0"/>
          <c:tx>
            <c:strRef>
              <c:f>Sheet1!$B$26</c:f>
            </c:strRef>
          </c:tx>
          <c:spPr>
            <a:ln cmpd="sng">
              <a:solidFill>
                <a:srgbClr val="38761D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38761D">
                  <a:alpha val="100000"/>
                </a:srgbClr>
              </a:solidFill>
              <a:ln cmpd="sng">
                <a:solidFill>
                  <a:srgbClr val="38761D">
                    <a:alpha val="100000"/>
                  </a:srgbClr>
                </a:solidFill>
              </a:ln>
            </c:spPr>
          </c:marker>
          <c:val>
            <c:numRef>
              <c:f>Sheet1!$C$26:$W$26</c:f>
              <c:numCache/>
            </c:numRef>
          </c:val>
          <c:smooth val="1"/>
        </c:ser>
        <c:axId val="358934675"/>
        <c:axId val="195106721"/>
      </c:lineChart>
      <c:catAx>
        <c:axId val="3589346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95106721"/>
      </c:catAx>
      <c:valAx>
        <c:axId val="195106721"/>
        <c:scaling>
          <c:orientation val="minMax"/>
          <c:max val="1.2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+mn-lt"/>
              </a:defRPr>
            </a:pPr>
          </a:p>
        </c:txPr>
        <c:crossAx val="358934675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0</xdr:row>
      <xdr:rowOff>38100</xdr:rowOff>
    </xdr:from>
    <xdr:ext cx="10153650" cy="18288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3438"/>
      </a:dk1>
      <a:lt1>
        <a:srgbClr val="FFFFFF"/>
      </a:lt1>
      <a:dk2>
        <a:srgbClr val="1A3438"/>
      </a:dk2>
      <a:lt2>
        <a:srgbClr val="FFFFFF"/>
      </a:lt2>
      <a:accent1>
        <a:srgbClr val="D77659"/>
      </a:accent1>
      <a:accent2>
        <a:srgbClr val="AB4028"/>
      </a:accent2>
      <a:accent3>
        <a:srgbClr val="004552"/>
      </a:accent3>
      <a:accent4>
        <a:srgbClr val="457D7C"/>
      </a:accent4>
      <a:accent5>
        <a:srgbClr val="50A6A6"/>
      </a:accent5>
      <a:accent6>
        <a:srgbClr val="9BCCC6"/>
      </a:accent6>
      <a:hlink>
        <a:srgbClr val="34A870"/>
      </a:hlink>
      <a:folHlink>
        <a:srgbClr val="34A870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5.75"/>
    <col customWidth="1" min="3" max="23" width="6.38"/>
    <col hidden="1" min="24" max="24" width="12.63"/>
    <col customWidth="1" min="25" max="25" width="17.38"/>
  </cols>
  <sheetData>
    <row r="2">
      <c r="B2" s="1" t="s">
        <v>0</v>
      </c>
      <c r="Y2" s="2" t="s">
        <v>1</v>
      </c>
    </row>
    <row r="3">
      <c r="B3" s="3">
        <v>45658.0</v>
      </c>
      <c r="Y3" s="4">
        <f>COUNTIF(C26:W26,"100%")</f>
        <v>2</v>
      </c>
    </row>
    <row r="5">
      <c r="B5" s="2" t="s">
        <v>2</v>
      </c>
      <c r="Y5" s="2" t="s">
        <v>3</v>
      </c>
    </row>
    <row r="6">
      <c r="B6" s="3" t="str">
        <f t="array" ref="B6">XLOOKUP(MAX(X14:X23),X14:X23,B14:B23)</f>
        <v>Drink Protein</v>
      </c>
      <c r="Y6" s="4">
        <f>COUNTIF(C26:W26,"&gt;50%")</f>
        <v>3</v>
      </c>
    </row>
    <row r="8">
      <c r="B8" s="2" t="s">
        <v>4</v>
      </c>
      <c r="Y8" s="2" t="s">
        <v>5</v>
      </c>
    </row>
    <row r="9">
      <c r="B9" s="3" t="str">
        <f t="array" ref="B9">XLOOKUP(MIN(X14:X23),X14:X23,B14:B23)</f>
        <v>Read 10+ Pages</v>
      </c>
      <c r="Y9" s="4">
        <f>COUNTIF(C26:W26,"0%")</f>
        <v>6</v>
      </c>
    </row>
    <row r="11">
      <c r="A11" s="5"/>
      <c r="B11" s="6"/>
      <c r="C11" s="7" t="s">
        <v>6</v>
      </c>
      <c r="J11" s="8" t="s">
        <v>7</v>
      </c>
      <c r="Q11" s="2" t="s">
        <v>8</v>
      </c>
      <c r="X11" s="5"/>
      <c r="Y11" s="9"/>
      <c r="Z11" s="5"/>
    </row>
    <row r="12">
      <c r="A12" s="10"/>
      <c r="B12" s="11"/>
      <c r="C12" s="12">
        <f>B3</f>
        <v>45658</v>
      </c>
      <c r="D12" s="12">
        <f t="shared" ref="D12:W12" si="1">C12+1</f>
        <v>45659</v>
      </c>
      <c r="E12" s="12">
        <f t="shared" si="1"/>
        <v>45660</v>
      </c>
      <c r="F12" s="12">
        <f t="shared" si="1"/>
        <v>45661</v>
      </c>
      <c r="G12" s="12">
        <f t="shared" si="1"/>
        <v>45662</v>
      </c>
      <c r="H12" s="12">
        <f t="shared" si="1"/>
        <v>45663</v>
      </c>
      <c r="I12" s="12">
        <f t="shared" si="1"/>
        <v>45664</v>
      </c>
      <c r="J12" s="13">
        <f t="shared" si="1"/>
        <v>45665</v>
      </c>
      <c r="K12" s="13">
        <f t="shared" si="1"/>
        <v>45666</v>
      </c>
      <c r="L12" s="13">
        <f t="shared" si="1"/>
        <v>45667</v>
      </c>
      <c r="M12" s="13">
        <f t="shared" si="1"/>
        <v>45668</v>
      </c>
      <c r="N12" s="13">
        <f t="shared" si="1"/>
        <v>45669</v>
      </c>
      <c r="O12" s="13">
        <f t="shared" si="1"/>
        <v>45670</v>
      </c>
      <c r="P12" s="13">
        <f t="shared" si="1"/>
        <v>45671</v>
      </c>
      <c r="Q12" s="11">
        <f t="shared" si="1"/>
        <v>45672</v>
      </c>
      <c r="R12" s="11">
        <f t="shared" si="1"/>
        <v>45673</v>
      </c>
      <c r="S12" s="11">
        <f t="shared" si="1"/>
        <v>45674</v>
      </c>
      <c r="T12" s="11">
        <f t="shared" si="1"/>
        <v>45675</v>
      </c>
      <c r="U12" s="11">
        <f t="shared" si="1"/>
        <v>45676</v>
      </c>
      <c r="V12" s="11">
        <f t="shared" si="1"/>
        <v>45677</v>
      </c>
      <c r="W12" s="11">
        <f t="shared" si="1"/>
        <v>45678</v>
      </c>
      <c r="X12" s="10"/>
      <c r="Y12" s="14"/>
      <c r="Z12" s="10"/>
    </row>
    <row r="13">
      <c r="A13" s="15"/>
      <c r="B13" s="1" t="s">
        <v>9</v>
      </c>
      <c r="C13" s="16">
        <f t="array" ref="C13:W13">SEQUENCE(1,21)</f>
        <v>1</v>
      </c>
      <c r="D13" s="16">
        <v>2.0</v>
      </c>
      <c r="E13" s="16">
        <v>3.0</v>
      </c>
      <c r="F13" s="16">
        <v>4.0</v>
      </c>
      <c r="G13" s="16">
        <v>5.0</v>
      </c>
      <c r="H13" s="16">
        <v>6.0</v>
      </c>
      <c r="I13" s="16">
        <v>7.0</v>
      </c>
      <c r="J13" s="17">
        <v>8.0</v>
      </c>
      <c r="K13" s="17">
        <v>9.0</v>
      </c>
      <c r="L13" s="17">
        <v>10.0</v>
      </c>
      <c r="M13" s="17">
        <v>11.0</v>
      </c>
      <c r="N13" s="17">
        <v>12.0</v>
      </c>
      <c r="O13" s="17">
        <v>13.0</v>
      </c>
      <c r="P13" s="17">
        <v>14.0</v>
      </c>
      <c r="Q13" s="18">
        <v>15.0</v>
      </c>
      <c r="R13" s="18">
        <v>16.0</v>
      </c>
      <c r="S13" s="18">
        <v>17.0</v>
      </c>
      <c r="T13" s="18">
        <v>18.0</v>
      </c>
      <c r="U13" s="18">
        <v>19.0</v>
      </c>
      <c r="V13" s="18">
        <v>20.0</v>
      </c>
      <c r="W13" s="18">
        <v>21.0</v>
      </c>
      <c r="X13" s="19" t="s">
        <v>10</v>
      </c>
      <c r="Y13" s="11" t="s">
        <v>10</v>
      </c>
      <c r="Z13" s="15"/>
    </row>
    <row r="14">
      <c r="B14" s="20" t="s">
        <v>11</v>
      </c>
      <c r="C14" s="21" t="b">
        <v>1</v>
      </c>
      <c r="D14" s="21" t="b">
        <v>1</v>
      </c>
      <c r="E14" s="22" t="b">
        <v>0</v>
      </c>
      <c r="F14" s="21" t="b">
        <v>1</v>
      </c>
      <c r="G14" s="22" t="b">
        <v>0</v>
      </c>
      <c r="H14" s="21" t="b">
        <v>1</v>
      </c>
      <c r="I14" s="21" t="b">
        <v>1</v>
      </c>
      <c r="J14" s="22" t="b">
        <v>0</v>
      </c>
      <c r="K14" s="22" t="b">
        <v>0</v>
      </c>
      <c r="L14" s="22" t="b">
        <v>0</v>
      </c>
      <c r="M14" s="22" t="b">
        <v>0</v>
      </c>
      <c r="N14" s="22" t="b">
        <v>0</v>
      </c>
      <c r="O14" s="21" t="b">
        <v>1</v>
      </c>
      <c r="P14" s="22" t="b">
        <v>0</v>
      </c>
      <c r="Q14" s="22" t="b">
        <v>0</v>
      </c>
      <c r="R14" s="21" t="b">
        <v>1</v>
      </c>
      <c r="S14" s="22" t="b">
        <v>0</v>
      </c>
      <c r="T14" s="21" t="b">
        <v>0</v>
      </c>
      <c r="U14" s="21" t="b">
        <v>0</v>
      </c>
      <c r="V14" s="21" t="b">
        <v>0</v>
      </c>
      <c r="W14" s="21" t="b">
        <v>0</v>
      </c>
      <c r="X14" s="23">
        <f t="shared" ref="X14:X23" si="2">COUNTIF(C14:W14,"TRUE")</f>
        <v>7</v>
      </c>
      <c r="Y14" s="24" t="str">
        <f t="shared" ref="Y14:Y23" si="3">REPT("|",X14*3)</f>
        <v>|||||||||||||||||||||</v>
      </c>
    </row>
    <row r="15">
      <c r="B15" s="20" t="s">
        <v>12</v>
      </c>
      <c r="C15" s="21" t="b">
        <v>1</v>
      </c>
      <c r="D15" s="21" t="b">
        <v>1</v>
      </c>
      <c r="E15" s="22" t="b">
        <v>0</v>
      </c>
      <c r="F15" s="21" t="b">
        <v>1</v>
      </c>
      <c r="G15" s="22" t="b">
        <v>0</v>
      </c>
      <c r="H15" s="22" t="b">
        <v>0</v>
      </c>
      <c r="I15" s="21" t="b">
        <v>1</v>
      </c>
      <c r="J15" s="21" t="b">
        <v>1</v>
      </c>
      <c r="K15" s="22" t="b">
        <v>0</v>
      </c>
      <c r="L15" s="22" t="b">
        <v>0</v>
      </c>
      <c r="M15" s="22" t="b">
        <v>0</v>
      </c>
      <c r="N15" s="22" t="b">
        <v>0</v>
      </c>
      <c r="O15" s="21" t="b">
        <v>1</v>
      </c>
      <c r="P15" s="22" t="b">
        <v>0</v>
      </c>
      <c r="Q15" s="22" t="b">
        <v>0</v>
      </c>
      <c r="R15" s="21" t="b">
        <v>1</v>
      </c>
      <c r="S15" s="21" t="b">
        <v>1</v>
      </c>
      <c r="T15" s="21" t="b">
        <v>0</v>
      </c>
      <c r="U15" s="21" t="b">
        <v>0</v>
      </c>
      <c r="V15" s="21" t="b">
        <v>0</v>
      </c>
      <c r="W15" s="22" t="b">
        <v>0</v>
      </c>
      <c r="X15" s="23">
        <f t="shared" si="2"/>
        <v>8</v>
      </c>
      <c r="Y15" s="24" t="str">
        <f t="shared" si="3"/>
        <v>||||||||||||||||||||||||</v>
      </c>
    </row>
    <row r="16">
      <c r="B16" s="20" t="s">
        <v>13</v>
      </c>
      <c r="C16" s="21" t="b">
        <v>1</v>
      </c>
      <c r="D16" s="21" t="b">
        <v>1</v>
      </c>
      <c r="E16" s="21" t="b">
        <v>1</v>
      </c>
      <c r="F16" s="22" t="b">
        <v>0</v>
      </c>
      <c r="G16" s="21" t="b">
        <v>1</v>
      </c>
      <c r="H16" s="21" t="b">
        <v>1</v>
      </c>
      <c r="I16" s="21" t="b">
        <v>1</v>
      </c>
      <c r="J16" s="22" t="b">
        <v>0</v>
      </c>
      <c r="K16" s="22" t="b">
        <v>0</v>
      </c>
      <c r="L16" s="21" t="b">
        <v>1</v>
      </c>
      <c r="M16" s="22" t="b">
        <v>0</v>
      </c>
      <c r="N16" s="22" t="b">
        <v>0</v>
      </c>
      <c r="O16" s="21" t="b">
        <v>1</v>
      </c>
      <c r="P16" s="22" t="b">
        <v>0</v>
      </c>
      <c r="Q16" s="22" t="b">
        <v>0</v>
      </c>
      <c r="R16" s="21" t="b">
        <v>1</v>
      </c>
      <c r="S16" s="22" t="b">
        <v>0</v>
      </c>
      <c r="T16" s="21" t="b">
        <v>0</v>
      </c>
      <c r="U16" s="21" t="b">
        <v>0</v>
      </c>
      <c r="V16" s="21" t="b">
        <v>0</v>
      </c>
      <c r="W16" s="21" t="b">
        <v>0</v>
      </c>
      <c r="X16" s="23">
        <f t="shared" si="2"/>
        <v>9</v>
      </c>
      <c r="Y16" s="24" t="str">
        <f t="shared" si="3"/>
        <v>|||||||||||||||||||||||||||</v>
      </c>
    </row>
    <row r="17">
      <c r="B17" s="20" t="s">
        <v>14</v>
      </c>
      <c r="C17" s="21" t="b">
        <v>1</v>
      </c>
      <c r="D17" s="21" t="b">
        <v>1</v>
      </c>
      <c r="E17" s="21" t="b">
        <v>1</v>
      </c>
      <c r="F17" s="22" t="b">
        <v>0</v>
      </c>
      <c r="G17" s="22" t="b">
        <v>0</v>
      </c>
      <c r="H17" s="22" t="b">
        <v>0</v>
      </c>
      <c r="I17" s="21" t="b">
        <v>1</v>
      </c>
      <c r="J17" s="22" t="b">
        <v>0</v>
      </c>
      <c r="K17" s="22" t="b">
        <v>0</v>
      </c>
      <c r="L17" s="22" t="b">
        <v>0</v>
      </c>
      <c r="M17" s="22" t="b">
        <v>0</v>
      </c>
      <c r="N17" s="22" t="b">
        <v>0</v>
      </c>
      <c r="O17" s="21" t="b">
        <v>1</v>
      </c>
      <c r="P17" s="22" t="b">
        <v>0</v>
      </c>
      <c r="Q17" s="22" t="b">
        <v>0</v>
      </c>
      <c r="R17" s="21" t="b">
        <v>1</v>
      </c>
      <c r="S17" s="22" t="b">
        <v>0</v>
      </c>
      <c r="T17" s="21" t="b">
        <v>0</v>
      </c>
      <c r="U17" s="22" t="b">
        <v>0</v>
      </c>
      <c r="V17" s="22" t="b">
        <v>0</v>
      </c>
      <c r="W17" s="21" t="b">
        <v>0</v>
      </c>
      <c r="X17" s="23">
        <f t="shared" si="2"/>
        <v>6</v>
      </c>
      <c r="Y17" s="24" t="str">
        <f t="shared" si="3"/>
        <v>||||||||||||||||||</v>
      </c>
    </row>
    <row r="18">
      <c r="B18" s="20" t="s">
        <v>15</v>
      </c>
      <c r="C18" s="21" t="b">
        <v>1</v>
      </c>
      <c r="D18" s="21" t="b">
        <v>1</v>
      </c>
      <c r="E18" s="21" t="b">
        <v>1</v>
      </c>
      <c r="F18" s="22" t="b">
        <v>0</v>
      </c>
      <c r="G18" s="22" t="b">
        <v>0</v>
      </c>
      <c r="H18" s="21" t="b">
        <v>1</v>
      </c>
      <c r="I18" s="22" t="b">
        <v>0</v>
      </c>
      <c r="J18" s="22" t="b">
        <v>0</v>
      </c>
      <c r="K18" s="21" t="b">
        <v>1</v>
      </c>
      <c r="L18" s="21" t="b">
        <v>1</v>
      </c>
      <c r="M18" s="22" t="b">
        <v>0</v>
      </c>
      <c r="N18" s="22" t="b">
        <v>0</v>
      </c>
      <c r="O18" s="22" t="b">
        <v>0</v>
      </c>
      <c r="P18" s="22" t="b">
        <v>0</v>
      </c>
      <c r="Q18" s="22" t="b">
        <v>0</v>
      </c>
      <c r="R18" s="22" t="b">
        <v>0</v>
      </c>
      <c r="S18" s="21" t="b">
        <v>1</v>
      </c>
      <c r="T18" s="22" t="b">
        <v>0</v>
      </c>
      <c r="U18" s="22" t="b">
        <v>0</v>
      </c>
      <c r="V18" s="21" t="b">
        <v>0</v>
      </c>
      <c r="W18" s="21" t="b">
        <v>0</v>
      </c>
      <c r="X18" s="23">
        <f t="shared" si="2"/>
        <v>7</v>
      </c>
      <c r="Y18" s="24" t="str">
        <f t="shared" si="3"/>
        <v>|||||||||||||||||||||</v>
      </c>
    </row>
    <row r="19">
      <c r="B19" s="20" t="s">
        <v>16</v>
      </c>
      <c r="C19" s="21" t="b">
        <v>1</v>
      </c>
      <c r="D19" s="21" t="b">
        <v>1</v>
      </c>
      <c r="E19" s="21" t="b">
        <v>1</v>
      </c>
      <c r="F19" s="22" t="b">
        <v>0</v>
      </c>
      <c r="G19" s="21" t="b">
        <v>1</v>
      </c>
      <c r="H19" s="22" t="b">
        <v>0</v>
      </c>
      <c r="I19" s="22" t="b">
        <v>0</v>
      </c>
      <c r="J19" s="22" t="b">
        <v>0</v>
      </c>
      <c r="K19" s="22" t="b">
        <v>0</v>
      </c>
      <c r="L19" s="22" t="b">
        <v>0</v>
      </c>
      <c r="M19" s="21" t="b">
        <v>1</v>
      </c>
      <c r="N19" s="22" t="b">
        <v>0</v>
      </c>
      <c r="O19" s="22" t="b">
        <v>0</v>
      </c>
      <c r="P19" s="22" t="b">
        <v>0</v>
      </c>
      <c r="Q19" s="22" t="b">
        <v>0</v>
      </c>
      <c r="R19" s="22" t="b">
        <v>0</v>
      </c>
      <c r="S19" s="21" t="b">
        <v>1</v>
      </c>
      <c r="T19" s="22" t="b">
        <v>0</v>
      </c>
      <c r="U19" s="22" t="b">
        <v>0</v>
      </c>
      <c r="V19" s="21" t="b">
        <v>0</v>
      </c>
      <c r="W19" s="21" t="b">
        <v>0</v>
      </c>
      <c r="X19" s="23">
        <f t="shared" si="2"/>
        <v>6</v>
      </c>
      <c r="Y19" s="24" t="str">
        <f t="shared" si="3"/>
        <v>||||||||||||||||||</v>
      </c>
    </row>
    <row r="20">
      <c r="B20" s="20" t="s">
        <v>17</v>
      </c>
      <c r="C20" s="21" t="b">
        <v>1</v>
      </c>
      <c r="D20" s="21" t="b">
        <v>1</v>
      </c>
      <c r="E20" s="21" t="b">
        <v>1</v>
      </c>
      <c r="F20" s="21" t="b">
        <v>1</v>
      </c>
      <c r="G20" s="22" t="b">
        <v>0</v>
      </c>
      <c r="H20" s="21" t="b">
        <v>1</v>
      </c>
      <c r="I20" s="21" t="b">
        <v>1</v>
      </c>
      <c r="J20" s="21" t="b">
        <v>1</v>
      </c>
      <c r="K20" s="22" t="b">
        <v>0</v>
      </c>
      <c r="L20" s="22" t="b">
        <v>0</v>
      </c>
      <c r="M20" s="22" t="b">
        <v>0</v>
      </c>
      <c r="N20" s="22" t="b">
        <v>0</v>
      </c>
      <c r="O20" s="22" t="b">
        <v>0</v>
      </c>
      <c r="P20" s="22" t="b">
        <v>0</v>
      </c>
      <c r="Q20" s="22" t="b">
        <v>0</v>
      </c>
      <c r="R20" s="22" t="b">
        <v>0</v>
      </c>
      <c r="S20" s="22" t="b">
        <v>0</v>
      </c>
      <c r="T20" s="22" t="b">
        <v>0</v>
      </c>
      <c r="U20" s="21" t="b">
        <v>0</v>
      </c>
      <c r="V20" s="22" t="b">
        <v>0</v>
      </c>
      <c r="W20" s="21" t="b">
        <v>0</v>
      </c>
      <c r="X20" s="23">
        <f t="shared" si="2"/>
        <v>7</v>
      </c>
      <c r="Y20" s="24" t="str">
        <f t="shared" si="3"/>
        <v>|||||||||||||||||||||</v>
      </c>
    </row>
    <row r="21">
      <c r="B21" s="20" t="s">
        <v>18</v>
      </c>
      <c r="C21" s="21" t="b">
        <v>1</v>
      </c>
      <c r="D21" s="21" t="b">
        <v>1</v>
      </c>
      <c r="E21" s="21" t="b">
        <v>1</v>
      </c>
      <c r="F21" s="22" t="b">
        <v>0</v>
      </c>
      <c r="G21" s="21" t="b">
        <v>1</v>
      </c>
      <c r="H21" s="21" t="b">
        <v>1</v>
      </c>
      <c r="I21" s="22" t="b">
        <v>0</v>
      </c>
      <c r="J21" s="22" t="b">
        <v>0</v>
      </c>
      <c r="K21" s="22" t="b">
        <v>0</v>
      </c>
      <c r="L21" s="22" t="b">
        <v>0</v>
      </c>
      <c r="M21" s="21" t="b">
        <v>1</v>
      </c>
      <c r="N21" s="22" t="b">
        <v>0</v>
      </c>
      <c r="O21" s="22" t="b">
        <v>0</v>
      </c>
      <c r="P21" s="21" t="b">
        <v>1</v>
      </c>
      <c r="Q21" s="22" t="b">
        <v>0</v>
      </c>
      <c r="R21" s="22" t="b">
        <v>0</v>
      </c>
      <c r="S21" s="22" t="b">
        <v>0</v>
      </c>
      <c r="T21" s="21" t="b">
        <v>0</v>
      </c>
      <c r="U21" s="22" t="b">
        <v>0</v>
      </c>
      <c r="V21" s="21" t="b">
        <v>0</v>
      </c>
      <c r="W21" s="21" t="b">
        <v>0</v>
      </c>
      <c r="X21" s="23">
        <f t="shared" si="2"/>
        <v>7</v>
      </c>
      <c r="Y21" s="24" t="str">
        <f t="shared" si="3"/>
        <v>|||||||||||||||||||||</v>
      </c>
    </row>
    <row r="22">
      <c r="B22" s="20" t="s">
        <v>19</v>
      </c>
      <c r="C22" s="21" t="b">
        <v>1</v>
      </c>
      <c r="D22" s="21" t="b">
        <v>1</v>
      </c>
      <c r="E22" s="22" t="b">
        <v>0</v>
      </c>
      <c r="F22" s="21" t="b">
        <v>1</v>
      </c>
      <c r="G22" s="22" t="b">
        <v>0</v>
      </c>
      <c r="H22" s="22" t="b">
        <v>0</v>
      </c>
      <c r="I22" s="22" t="b">
        <v>0</v>
      </c>
      <c r="J22" s="21" t="b">
        <v>1</v>
      </c>
      <c r="K22" s="22" t="b">
        <v>0</v>
      </c>
      <c r="L22" s="21" t="b">
        <v>0</v>
      </c>
      <c r="M22" s="22" t="b">
        <v>0</v>
      </c>
      <c r="N22" s="22" t="b">
        <v>0</v>
      </c>
      <c r="O22" s="22" t="b">
        <v>0</v>
      </c>
      <c r="P22" s="21" t="b">
        <v>0</v>
      </c>
      <c r="Q22" s="22" t="b">
        <v>0</v>
      </c>
      <c r="R22" s="22" t="b">
        <v>0</v>
      </c>
      <c r="S22" s="21" t="b">
        <v>1</v>
      </c>
      <c r="T22" s="21" t="b">
        <v>0</v>
      </c>
      <c r="U22" s="21" t="b">
        <v>0</v>
      </c>
      <c r="V22" s="21" t="b">
        <v>0</v>
      </c>
      <c r="W22" s="21" t="b">
        <v>0</v>
      </c>
      <c r="X22" s="23">
        <f t="shared" si="2"/>
        <v>5</v>
      </c>
      <c r="Y22" s="24" t="str">
        <f t="shared" si="3"/>
        <v>|||||||||||||||</v>
      </c>
    </row>
    <row r="23">
      <c r="B23" s="20" t="s">
        <v>20</v>
      </c>
      <c r="C23" s="21" t="b">
        <v>1</v>
      </c>
      <c r="D23" s="21" t="b">
        <v>1</v>
      </c>
      <c r="E23" s="22" t="b">
        <v>0</v>
      </c>
      <c r="F23" s="22" t="b">
        <v>0</v>
      </c>
      <c r="G23" s="22" t="b">
        <v>0</v>
      </c>
      <c r="H23" s="22" t="b">
        <v>0</v>
      </c>
      <c r="I23" s="22" t="b">
        <v>0</v>
      </c>
      <c r="J23" s="21" t="b">
        <v>1</v>
      </c>
      <c r="K23" s="22" t="b">
        <v>0</v>
      </c>
      <c r="L23" s="22" t="b">
        <v>0</v>
      </c>
      <c r="M23" s="22" t="b">
        <v>0</v>
      </c>
      <c r="N23" s="22" t="b">
        <v>0</v>
      </c>
      <c r="O23" s="22" t="b">
        <v>0</v>
      </c>
      <c r="P23" s="21" t="b">
        <v>1</v>
      </c>
      <c r="Q23" s="22" t="b">
        <v>0</v>
      </c>
      <c r="R23" s="22" t="b">
        <v>0</v>
      </c>
      <c r="S23" s="21" t="b">
        <v>1</v>
      </c>
      <c r="T23" s="21" t="b">
        <v>0</v>
      </c>
      <c r="U23" s="22" t="b">
        <v>0</v>
      </c>
      <c r="V23" s="21" t="b">
        <v>0</v>
      </c>
      <c r="W23" s="22" t="b">
        <v>0</v>
      </c>
      <c r="X23" s="23">
        <f t="shared" si="2"/>
        <v>5</v>
      </c>
      <c r="Y23" s="24" t="str">
        <f t="shared" si="3"/>
        <v>|||||||||||||||</v>
      </c>
    </row>
    <row r="25">
      <c r="A25" s="25"/>
      <c r="B25" s="26" t="s">
        <v>21</v>
      </c>
      <c r="C25" s="26">
        <f t="shared" ref="C25:W25" si="4">COUNTIF(C14:C23,"True")</f>
        <v>10</v>
      </c>
      <c r="D25" s="26">
        <f t="shared" si="4"/>
        <v>10</v>
      </c>
      <c r="E25" s="26">
        <f t="shared" si="4"/>
        <v>6</v>
      </c>
      <c r="F25" s="26">
        <f t="shared" si="4"/>
        <v>4</v>
      </c>
      <c r="G25" s="26">
        <f t="shared" si="4"/>
        <v>3</v>
      </c>
      <c r="H25" s="26">
        <f t="shared" si="4"/>
        <v>5</v>
      </c>
      <c r="I25" s="26">
        <f t="shared" si="4"/>
        <v>5</v>
      </c>
      <c r="J25" s="26">
        <f t="shared" si="4"/>
        <v>4</v>
      </c>
      <c r="K25" s="26">
        <f t="shared" si="4"/>
        <v>1</v>
      </c>
      <c r="L25" s="26">
        <f t="shared" si="4"/>
        <v>2</v>
      </c>
      <c r="M25" s="26">
        <f t="shared" si="4"/>
        <v>2</v>
      </c>
      <c r="N25" s="26">
        <f t="shared" si="4"/>
        <v>0</v>
      </c>
      <c r="O25" s="26">
        <f t="shared" si="4"/>
        <v>4</v>
      </c>
      <c r="P25" s="26">
        <f t="shared" si="4"/>
        <v>2</v>
      </c>
      <c r="Q25" s="26">
        <f t="shared" si="4"/>
        <v>0</v>
      </c>
      <c r="R25" s="26">
        <f t="shared" si="4"/>
        <v>4</v>
      </c>
      <c r="S25" s="26">
        <f t="shared" si="4"/>
        <v>5</v>
      </c>
      <c r="T25" s="26">
        <f t="shared" si="4"/>
        <v>0</v>
      </c>
      <c r="U25" s="26">
        <f t="shared" si="4"/>
        <v>0</v>
      </c>
      <c r="V25" s="26">
        <f t="shared" si="4"/>
        <v>0</v>
      </c>
      <c r="W25" s="26">
        <f t="shared" si="4"/>
        <v>0</v>
      </c>
      <c r="X25" s="25"/>
      <c r="Y25" s="25"/>
      <c r="Z25" s="25"/>
    </row>
    <row r="26">
      <c r="A26" s="25"/>
      <c r="B26" s="26" t="s">
        <v>22</v>
      </c>
      <c r="C26" s="27">
        <f t="shared" ref="C26:W26" si="5">C25/COUNTA(C14:C23)</f>
        <v>1</v>
      </c>
      <c r="D26" s="27">
        <f t="shared" si="5"/>
        <v>1</v>
      </c>
      <c r="E26" s="27">
        <f t="shared" si="5"/>
        <v>0.6</v>
      </c>
      <c r="F26" s="27">
        <f t="shared" si="5"/>
        <v>0.4</v>
      </c>
      <c r="G26" s="27">
        <f t="shared" si="5"/>
        <v>0.3</v>
      </c>
      <c r="H26" s="27">
        <f t="shared" si="5"/>
        <v>0.5</v>
      </c>
      <c r="I26" s="27">
        <f t="shared" si="5"/>
        <v>0.5</v>
      </c>
      <c r="J26" s="27">
        <f t="shared" si="5"/>
        <v>0.4</v>
      </c>
      <c r="K26" s="27">
        <f t="shared" si="5"/>
        <v>0.1</v>
      </c>
      <c r="L26" s="27">
        <f t="shared" si="5"/>
        <v>0.2</v>
      </c>
      <c r="M26" s="27">
        <f t="shared" si="5"/>
        <v>0.2</v>
      </c>
      <c r="N26" s="27">
        <f t="shared" si="5"/>
        <v>0</v>
      </c>
      <c r="O26" s="27">
        <f t="shared" si="5"/>
        <v>0.4</v>
      </c>
      <c r="P26" s="27">
        <f t="shared" si="5"/>
        <v>0.2</v>
      </c>
      <c r="Q26" s="27">
        <f t="shared" si="5"/>
        <v>0</v>
      </c>
      <c r="R26" s="27">
        <f t="shared" si="5"/>
        <v>0.4</v>
      </c>
      <c r="S26" s="27">
        <f t="shared" si="5"/>
        <v>0.5</v>
      </c>
      <c r="T26" s="27">
        <f t="shared" si="5"/>
        <v>0</v>
      </c>
      <c r="U26" s="27">
        <f t="shared" si="5"/>
        <v>0</v>
      </c>
      <c r="V26" s="27">
        <f t="shared" si="5"/>
        <v>0</v>
      </c>
      <c r="W26" s="27">
        <f t="shared" si="5"/>
        <v>0</v>
      </c>
      <c r="X26" s="25"/>
      <c r="Y26" s="25"/>
      <c r="Z26" s="25"/>
    </row>
  </sheetData>
  <mergeCells count="3">
    <mergeCell ref="C11:I11"/>
    <mergeCell ref="J11:P11"/>
    <mergeCell ref="Q11:W1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