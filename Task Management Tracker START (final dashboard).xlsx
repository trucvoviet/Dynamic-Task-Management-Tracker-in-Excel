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USERA\Excel project\Dynamic-Task-Management-Tracker-in-Excel\"/>
    </mc:Choice>
  </mc:AlternateContent>
  <xr:revisionPtr revIDLastSave="0" documentId="13_ncr:1_{C25D5213-1D9F-4E5B-9B49-0940641D8014}" xr6:coauthVersionLast="47" xr6:coauthVersionMax="47" xr10:uidLastSave="{00000000-0000-0000-0000-000000000000}"/>
  <bookViews>
    <workbookView xWindow="-110" yWindow="-110" windowWidth="19420" windowHeight="11020" activeTab="1" xr2:uid="{1A5F5666-BE82-F64F-A80E-7F153D5D7E43}"/>
  </bookViews>
  <sheets>
    <sheet name="Cover Page" sheetId="5" r:id="rId1"/>
    <sheet name="Dashboard" sheetId="4" r:id="rId2"/>
    <sheet name="Support Sheet" sheetId="2" r:id="rId3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I4" i="2"/>
  <c r="I5" i="2"/>
  <c r="I6" i="2"/>
  <c r="I3" i="2"/>
  <c r="F4" i="2"/>
  <c r="F5" i="2"/>
  <c r="F6" i="2"/>
  <c r="F7" i="2"/>
  <c r="F3" i="2"/>
  <c r="C5" i="2"/>
  <c r="C4" i="2"/>
  <c r="C3" i="2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C6" i="2" l="1"/>
</calcChain>
</file>

<file path=xl/sharedStrings.xml><?xml version="1.0" encoding="utf-8"?>
<sst xmlns="http://schemas.openxmlformats.org/spreadsheetml/2006/main" count="128" uniqueCount="79">
  <si>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</si>
  <si>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</si>
  <si>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</si>
  <si>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</si>
  <si>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</si>
  <si>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</si>
  <si>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</si>
  <si>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</si>
  <si>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</si>
  <si>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</si>
  <si>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</si>
  <si>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</si>
  <si>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</si>
  <si>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</si>
  <si>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</si>
  <si>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</si>
  <si>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</si>
  <si>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</si>
  <si>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</si>
  <si>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</si>
  <si>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</si>
  <si>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</si>
  <si>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</si>
  <si>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</si>
  <si>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</si>
  <si>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</si>
  <si>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</si>
  <si>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</si>
  <si>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</si>
  <si>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</si>
  <si>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</si>
  <si>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</si>
  <si>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</si>
  <si>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</si>
  <si>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</si>
  <si>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</si>
  <si>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</si>
  <si>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</si>
  <si>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</si>
  <si>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</si>
  <si>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</si>
  <si>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</si>
  <si>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</si>
  <si>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</si>
  <si>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</si>
  <si>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</si>
  <si>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</si>
  <si>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</si>
  <si>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</si>
  <si>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</si>
  <si>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</si>
  <si>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</si>
  <si>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</si>
  <si>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</si>
  <si>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</si>
  <si>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</si>
  <si>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</si>
  <si>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</si>
  <si>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</si>
  <si>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</si>
  <si>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</si>
  <si>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</si>
  <si>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</si>
  <si>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</si>
  <si>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</si>
  <si>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</si>
  <si>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</si>
  <si>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</si>
  <si>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</si>
  <si>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</si>
  <si>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</si>
  <si>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</si>
  <si>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</si>
  <si>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</si>
  <si>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</si>
  <si>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</si>
  <si>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</si>
  <si>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</si>
  <si>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Task Management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</si>
</sst>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1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3" fillId="0" borderId="0"/>
    <xf numFmtId="0" fontId="6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1" xfId="3" applyBorder="1"/>
    <xf numFmtId="0" fontId="7" fillId="0" borderId="2" xfId="3" applyFont="1" applyBorder="1" applyAlignment="1">
      <alignment horizontal="center" vertical="center"/>
    </xf>
    <xf numFmtId="0" fontId="5" fillId="0" borderId="3" xfId="3" applyBorder="1"/>
    <xf numFmtId="0" fontId="5" fillId="3" borderId="0" xfId="3" applyFill="1"/>
    <xf numFmtId="0" fontId="5" fillId="0" borderId="4" xfId="3" applyBorder="1"/>
    <xf numFmtId="0" fontId="7" fillId="0" borderId="0" xfId="3" applyFont="1" applyAlignment="1">
      <alignment horizontal="center" vertical="center"/>
    </xf>
    <xf numFmtId="0" fontId="5" fillId="0" borderId="5" xfId="3" applyBorder="1"/>
    <xf numFmtId="0" fontId="5" fillId="0" borderId="0" xfId="3"/>
    <xf numFmtId="0" fontId="8" fillId="0" borderId="0" xfId="3" applyFont="1" applyAlignment="1">
      <alignment horizontal="center"/>
    </xf>
    <xf numFmtId="0" fontId="5" fillId="0" borderId="4" xfId="3" applyBorder="1" applyAlignment="1">
      <alignment vertical="center"/>
    </xf>
    <xf numFmtId="0" fontId="10" fillId="4" borderId="6" xfId="4" applyFont="1" applyFill="1" applyBorder="1" applyAlignment="1">
      <alignment horizontal="center" vertical="center"/>
    </xf>
    <xf numFmtId="0" fontId="5" fillId="0" borderId="5" xfId="3" applyBorder="1" applyAlignment="1">
      <alignment vertical="center"/>
    </xf>
    <xf numFmtId="0" fontId="5" fillId="3" borderId="0" xfId="3" applyFill="1" applyAlignment="1">
      <alignment vertical="center"/>
    </xf>
    <xf numFmtId="0" fontId="11" fillId="0" borderId="0" xfId="2" applyFont="1"/>
    <xf numFmtId="0" fontId="12" fillId="0" borderId="0" xfId="4" applyFont="1" applyFill="1" applyBorder="1"/>
    <xf numFmtId="0" fontId="13" fillId="0" borderId="7" xfId="3" applyFont="1" applyBorder="1"/>
    <xf numFmtId="0" fontId="5" fillId="0" borderId="0" xfId="3" applyAlignment="1">
      <alignment vertical="top" wrapText="1"/>
    </xf>
    <xf numFmtId="0" fontId="5" fillId="0" borderId="8" xfId="3" applyBorder="1"/>
    <xf numFmtId="0" fontId="5" fillId="0" borderId="7" xfId="3" applyBorder="1"/>
    <xf numFmtId="0" fontId="5" fillId="0" borderId="9" xfId="3" applyBorder="1"/>
    <xf numFmtId="0" fontId="14" fillId="0" borderId="0" xfId="0" applyFont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</cellXfs>
  <cellStyles count="5">
    <cellStyle name="Hyperlink" xfId="2" builtinId="8"/>
    <cellStyle name="Hyperlink 2" xfId="4" xr:uid="{D116B123-67C6-344C-8E97-773FA34E970D}"/>
    <cellStyle name="Normal" xfId="0" builtinId="0"/>
    <cellStyle name="Normal 2" xfId="1" xr:uid="{A1221B63-1151-9945-AD17-D34A8F7994D7}"/>
    <cellStyle name="Normal 2 2" xfId="3" xr:uid="{6371BA46-78D2-CF43-B416-26A12EFA2F80}"/>
  </cellStyles>
  <dxfs count="17"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&quot; Days&quot;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Tasks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734879248250261"/>
          <c:y val="0.26388150505166508"/>
          <c:w val="0.77939623612536402"/>
          <c:h val="0.714774614787779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8-4830-AC3A-24F8538F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4270111"/>
        <c:axId val="764270591"/>
      </c:barChart>
      <c:catAx>
        <c:axId val="764270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70591"/>
        <c:crosses val="autoZero"/>
        <c:auto val="1"/>
        <c:lblAlgn val="ctr"/>
        <c:lblOffset val="100"/>
        <c:noMultiLvlLbl val="0"/>
      </c:catAx>
      <c:valAx>
        <c:axId val="76427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427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Tasks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6027249973653"/>
          <c:y val="0.28051264216404975"/>
          <c:w val="0.8346397275002635"/>
          <c:h val="0.704361305414054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E-4578-B758-323A7E333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68587247"/>
        <c:axId val="868581967"/>
      </c:barChart>
      <c:catAx>
        <c:axId val="8685872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81967"/>
        <c:crosses val="autoZero"/>
        <c:auto val="1"/>
        <c:lblAlgn val="ctr"/>
        <c:lblOffset val="100"/>
        <c:noMultiLvlLbl val="0"/>
      </c:catAx>
      <c:valAx>
        <c:axId val="868581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858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1658C-54A2-1D4C-934D-D1401417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253999</xdr:colOff>
      <xdr:row>0</xdr:row>
      <xdr:rowOff>98778</xdr:rowOff>
    </xdr:from>
    <xdr:to>
      <xdr:col>11</xdr:col>
      <xdr:colOff>28223</xdr:colOff>
      <xdr:row>3</xdr:row>
      <xdr:rowOff>0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6724B887-D709-4CB5-8A10-3D1211D3D5F0}"/>
            </a:ext>
          </a:extLst>
        </xdr:cNvPr>
        <xdr:cNvSpPr/>
      </xdr:nvSpPr>
      <xdr:spPr>
        <a:xfrm>
          <a:off x="253999" y="98778"/>
          <a:ext cx="12213168" cy="613833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2800" b="1">
              <a:solidFill>
                <a:schemeClr val="lt1"/>
              </a:solidFill>
              <a:latin typeface="+mn-lt"/>
              <a:ea typeface="+mn-ea"/>
              <a:cs typeface="+mn-cs"/>
            </a:rPr>
            <a:t>TASK MANAGEMENT TRACKER</a:t>
          </a:r>
        </a:p>
      </xdr:txBody>
    </xdr:sp>
    <xdr:clientData/>
  </xdr:twoCellAnchor>
  <xdr:twoCellAnchor>
    <xdr:from>
      <xdr:col>0</xdr:col>
      <xdr:colOff>234245</xdr:colOff>
      <xdr:row>3</xdr:row>
      <xdr:rowOff>104422</xdr:rowOff>
    </xdr:from>
    <xdr:to>
      <xdr:col>2</xdr:col>
      <xdr:colOff>460037</xdr:colOff>
      <xdr:row>7</xdr:row>
      <xdr:rowOff>118533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D48F6A74-5FAA-46D6-B65B-3795F20F6155}"/>
            </a:ext>
          </a:extLst>
        </xdr:cNvPr>
        <xdr:cNvSpPr/>
      </xdr:nvSpPr>
      <xdr:spPr>
        <a:xfrm>
          <a:off x="234245" y="817033"/>
          <a:ext cx="1128903" cy="8325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660400</xdr:colOff>
      <xdr:row>8</xdr:row>
      <xdr:rowOff>39510</xdr:rowOff>
    </xdr:from>
    <xdr:to>
      <xdr:col>2</xdr:col>
      <xdr:colOff>1789303</xdr:colOff>
      <xdr:row>12</xdr:row>
      <xdr:rowOff>53622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C3008295-AA82-4475-90BB-0F3BB80016E3}"/>
            </a:ext>
          </a:extLst>
        </xdr:cNvPr>
        <xdr:cNvSpPr/>
      </xdr:nvSpPr>
      <xdr:spPr>
        <a:xfrm>
          <a:off x="1563511" y="1775177"/>
          <a:ext cx="1128903" cy="8325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234245</xdr:colOff>
      <xdr:row>8</xdr:row>
      <xdr:rowOff>39510</xdr:rowOff>
    </xdr:from>
    <xdr:to>
      <xdr:col>2</xdr:col>
      <xdr:colOff>460037</xdr:colOff>
      <xdr:row>12</xdr:row>
      <xdr:rowOff>53622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48EB0B13-76F1-41DB-9652-1725528EC219}"/>
            </a:ext>
          </a:extLst>
        </xdr:cNvPr>
        <xdr:cNvSpPr/>
      </xdr:nvSpPr>
      <xdr:spPr>
        <a:xfrm>
          <a:off x="234245" y="1775177"/>
          <a:ext cx="1128903" cy="8325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660400</xdr:colOff>
      <xdr:row>3</xdr:row>
      <xdr:rowOff>104422</xdr:rowOff>
    </xdr:from>
    <xdr:to>
      <xdr:col>2</xdr:col>
      <xdr:colOff>1789303</xdr:colOff>
      <xdr:row>7</xdr:row>
      <xdr:rowOff>118533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92FCA912-66D6-497B-9381-792D12AFB611}"/>
            </a:ext>
          </a:extLst>
        </xdr:cNvPr>
        <xdr:cNvSpPr/>
      </xdr:nvSpPr>
      <xdr:spPr>
        <a:xfrm>
          <a:off x="1563511" y="817033"/>
          <a:ext cx="1128903" cy="83255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1984023</xdr:colOff>
      <xdr:row>3</xdr:row>
      <xdr:rowOff>122767</xdr:rowOff>
    </xdr:from>
    <xdr:to>
      <xdr:col>7</xdr:col>
      <xdr:colOff>28222</xdr:colOff>
      <xdr:row>12</xdr:row>
      <xdr:rowOff>21167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1D8DCA5B-29D0-4A5A-FD2F-B414FC079CD8}"/>
            </a:ext>
          </a:extLst>
        </xdr:cNvPr>
        <xdr:cNvSpPr/>
      </xdr:nvSpPr>
      <xdr:spPr>
        <a:xfrm>
          <a:off x="2887134" y="835378"/>
          <a:ext cx="3879144" cy="1739900"/>
        </a:xfrm>
        <a:prstGeom prst="roundRect">
          <a:avLst>
            <a:gd name="adj" fmla="val 10985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189090</xdr:colOff>
      <xdr:row>3</xdr:row>
      <xdr:rowOff>112890</xdr:rowOff>
    </xdr:from>
    <xdr:to>
      <xdr:col>10</xdr:col>
      <xdr:colOff>1274234</xdr:colOff>
      <xdr:row>12</xdr:row>
      <xdr:rowOff>11290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9EF1949D-1F4D-4004-12E4-60F1A5022947}"/>
            </a:ext>
          </a:extLst>
        </xdr:cNvPr>
        <xdr:cNvSpPr/>
      </xdr:nvSpPr>
      <xdr:spPr>
        <a:xfrm>
          <a:off x="6927146" y="825501"/>
          <a:ext cx="3879144" cy="1739900"/>
        </a:xfrm>
        <a:prstGeom prst="roundRect">
          <a:avLst>
            <a:gd name="adj" fmla="val 10985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1439333</xdr:colOff>
      <xdr:row>3</xdr:row>
      <xdr:rowOff>112889</xdr:rowOff>
    </xdr:from>
    <xdr:to>
      <xdr:col>11</xdr:col>
      <xdr:colOff>32461</xdr:colOff>
      <xdr:row>12</xdr:row>
      <xdr:rowOff>11289</xdr:rowOff>
    </xdr:to>
    <xdr:sp macro="" textlink="">
      <xdr:nvSpPr>
        <xdr:cNvPr id="12" name="Rounded Rectangle 14">
          <a:extLst>
            <a:ext uri="{FF2B5EF4-FFF2-40B4-BE49-F238E27FC236}">
              <a16:creationId xmlns:a16="http://schemas.microsoft.com/office/drawing/2014/main" id="{1DD469F7-05DA-B03A-83D1-334FC74A1A94}"/>
            </a:ext>
          </a:extLst>
        </xdr:cNvPr>
        <xdr:cNvSpPr/>
      </xdr:nvSpPr>
      <xdr:spPr>
        <a:xfrm>
          <a:off x="10971389" y="825500"/>
          <a:ext cx="1930405" cy="173990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112887</xdr:colOff>
      <xdr:row>3</xdr:row>
      <xdr:rowOff>162273</xdr:rowOff>
    </xdr:from>
    <xdr:to>
      <xdr:col>2</xdr:col>
      <xdr:colOff>402165</xdr:colOff>
      <xdr:row>5</xdr:row>
      <xdr:rowOff>14107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D9AE03-CD00-75C5-7C39-F187678E99D2}"/>
            </a:ext>
          </a:extLst>
        </xdr:cNvPr>
        <xdr:cNvSpPr txBox="1"/>
      </xdr:nvSpPr>
      <xdr:spPr>
        <a:xfrm>
          <a:off x="380998" y="874884"/>
          <a:ext cx="924278" cy="261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Completed</a:t>
          </a:r>
        </a:p>
      </xdr:txBody>
    </xdr:sp>
    <xdr:clientData/>
  </xdr:twoCellAnchor>
  <xdr:twoCellAnchor>
    <xdr:from>
      <xdr:col>1</xdr:col>
      <xdr:colOff>67734</xdr:colOff>
      <xdr:row>4</xdr:row>
      <xdr:rowOff>159450</xdr:rowOff>
    </xdr:from>
    <xdr:to>
      <xdr:col>2</xdr:col>
      <xdr:colOff>357012</xdr:colOff>
      <xdr:row>7</xdr:row>
      <xdr:rowOff>63500</xdr:rowOff>
    </xdr:to>
    <xdr:sp macro="" textlink="'Support Sheet'!C3">
      <xdr:nvSpPr>
        <xdr:cNvPr id="14" name="TextBox 13">
          <a:extLst>
            <a:ext uri="{FF2B5EF4-FFF2-40B4-BE49-F238E27FC236}">
              <a16:creationId xmlns:a16="http://schemas.microsoft.com/office/drawing/2014/main" id="{53A3E8C9-B045-41E6-983E-14ECC7E83AFF}"/>
            </a:ext>
          </a:extLst>
        </xdr:cNvPr>
        <xdr:cNvSpPr txBox="1"/>
      </xdr:nvSpPr>
      <xdr:spPr>
        <a:xfrm>
          <a:off x="335845" y="1076672"/>
          <a:ext cx="924278" cy="517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9726DCC-CADF-4256-BC45-0DB32D4843B9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7</a:t>
          </a:fld>
          <a:endParaRPr lang="en-US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839609</xdr:colOff>
      <xdr:row>3</xdr:row>
      <xdr:rowOff>162273</xdr:rowOff>
    </xdr:from>
    <xdr:to>
      <xdr:col>2</xdr:col>
      <xdr:colOff>1763887</xdr:colOff>
      <xdr:row>5</xdr:row>
      <xdr:rowOff>14107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954E927-B428-2D4F-7796-F8AB23E2A65E}"/>
            </a:ext>
          </a:extLst>
        </xdr:cNvPr>
        <xdr:cNvSpPr txBox="1"/>
      </xdr:nvSpPr>
      <xdr:spPr>
        <a:xfrm>
          <a:off x="1742720" y="874884"/>
          <a:ext cx="924278" cy="261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Not</a:t>
          </a:r>
          <a:r>
            <a:rPr lang="en-US" sz="1200" b="1" baseline="0">
              <a:solidFill>
                <a:schemeClr val="bg1"/>
              </a:solidFill>
            </a:rPr>
            <a:t> Started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794456</xdr:colOff>
      <xdr:row>4</xdr:row>
      <xdr:rowOff>159450</xdr:rowOff>
    </xdr:from>
    <xdr:to>
      <xdr:col>2</xdr:col>
      <xdr:colOff>1718734</xdr:colOff>
      <xdr:row>7</xdr:row>
      <xdr:rowOff>63500</xdr:rowOff>
    </xdr:to>
    <xdr:sp macro="" textlink="'Support Sheet'!C5">
      <xdr:nvSpPr>
        <xdr:cNvPr id="16" name="TextBox 15">
          <a:extLst>
            <a:ext uri="{FF2B5EF4-FFF2-40B4-BE49-F238E27FC236}">
              <a16:creationId xmlns:a16="http://schemas.microsoft.com/office/drawing/2014/main" id="{F641E8FD-61CD-A562-3A7C-1390FF35B9D7}"/>
            </a:ext>
          </a:extLst>
        </xdr:cNvPr>
        <xdr:cNvSpPr txBox="1"/>
      </xdr:nvSpPr>
      <xdr:spPr>
        <a:xfrm>
          <a:off x="1697567" y="1076672"/>
          <a:ext cx="924278" cy="517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6167EDF-79AA-494B-9C98-D0FC4AEBB61D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</a:t>
          </a:fld>
          <a:endParaRPr lang="en-US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839609</xdr:colOff>
      <xdr:row>8</xdr:row>
      <xdr:rowOff>126995</xdr:rowOff>
    </xdr:from>
    <xdr:to>
      <xdr:col>2</xdr:col>
      <xdr:colOff>1763887</xdr:colOff>
      <xdr:row>9</xdr:row>
      <xdr:rowOff>183440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ADBA6FE-D52A-E512-00BF-CA6C95C148C9}"/>
            </a:ext>
          </a:extLst>
        </xdr:cNvPr>
        <xdr:cNvSpPr txBox="1"/>
      </xdr:nvSpPr>
      <xdr:spPr>
        <a:xfrm>
          <a:off x="1742720" y="1862662"/>
          <a:ext cx="924278" cy="261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Total</a:t>
          </a:r>
          <a:r>
            <a:rPr lang="en-US" sz="1200" b="1" baseline="0">
              <a:solidFill>
                <a:schemeClr val="bg1"/>
              </a:solidFill>
            </a:rPr>
            <a:t> Tasks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794456</xdr:colOff>
      <xdr:row>9</xdr:row>
      <xdr:rowOff>124172</xdr:rowOff>
    </xdr:from>
    <xdr:to>
      <xdr:col>2</xdr:col>
      <xdr:colOff>1718734</xdr:colOff>
      <xdr:row>12</xdr:row>
      <xdr:rowOff>28223</xdr:rowOff>
    </xdr:to>
    <xdr:sp macro="" textlink="'Support Sheet'!C6">
      <xdr:nvSpPr>
        <xdr:cNvPr id="18" name="TextBox 17">
          <a:extLst>
            <a:ext uri="{FF2B5EF4-FFF2-40B4-BE49-F238E27FC236}">
              <a16:creationId xmlns:a16="http://schemas.microsoft.com/office/drawing/2014/main" id="{800644C3-FA82-A388-F67D-02D30FA4E748}"/>
            </a:ext>
          </a:extLst>
        </xdr:cNvPr>
        <xdr:cNvSpPr txBox="1"/>
      </xdr:nvSpPr>
      <xdr:spPr>
        <a:xfrm>
          <a:off x="1697567" y="2064450"/>
          <a:ext cx="924278" cy="517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0D72556-40DB-4E42-8BA5-EAD806710820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15</a:t>
          </a:fld>
          <a:endParaRPr lang="en-US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119942</xdr:colOff>
      <xdr:row>8</xdr:row>
      <xdr:rowOff>105828</xdr:rowOff>
    </xdr:from>
    <xdr:to>
      <xdr:col>2</xdr:col>
      <xdr:colOff>409220</xdr:colOff>
      <xdr:row>9</xdr:row>
      <xdr:rowOff>162273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8B3BBEA-126E-09A9-E277-6A31F78FC766}"/>
            </a:ext>
          </a:extLst>
        </xdr:cNvPr>
        <xdr:cNvSpPr txBox="1"/>
      </xdr:nvSpPr>
      <xdr:spPr>
        <a:xfrm>
          <a:off x="388053" y="1841495"/>
          <a:ext cx="924278" cy="261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In</a:t>
          </a:r>
          <a:r>
            <a:rPr lang="en-US" sz="1200" b="1" baseline="0">
              <a:solidFill>
                <a:schemeClr val="bg1"/>
              </a:solidFill>
            </a:rPr>
            <a:t> progress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74789</xdr:colOff>
      <xdr:row>9</xdr:row>
      <xdr:rowOff>103005</xdr:rowOff>
    </xdr:from>
    <xdr:to>
      <xdr:col>2</xdr:col>
      <xdr:colOff>364067</xdr:colOff>
      <xdr:row>12</xdr:row>
      <xdr:rowOff>7056</xdr:rowOff>
    </xdr:to>
    <xdr:sp macro="" textlink="'Support Sheet'!C4">
      <xdr:nvSpPr>
        <xdr:cNvPr id="20" name="TextBox 19">
          <a:extLst>
            <a:ext uri="{FF2B5EF4-FFF2-40B4-BE49-F238E27FC236}">
              <a16:creationId xmlns:a16="http://schemas.microsoft.com/office/drawing/2014/main" id="{F1A44DF7-7FD5-6230-A879-5AB0E826CBAF}"/>
            </a:ext>
          </a:extLst>
        </xdr:cNvPr>
        <xdr:cNvSpPr txBox="1"/>
      </xdr:nvSpPr>
      <xdr:spPr>
        <a:xfrm>
          <a:off x="342900" y="2043283"/>
          <a:ext cx="924278" cy="517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A7305B2-745A-4B14-A29A-F8C9B5CC73CA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6</a:t>
          </a:fld>
          <a:endParaRPr lang="en-US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1961443</xdr:colOff>
      <xdr:row>3</xdr:row>
      <xdr:rowOff>91723</xdr:rowOff>
    </xdr:from>
    <xdr:to>
      <xdr:col>7</xdr:col>
      <xdr:colOff>28222</xdr:colOff>
      <xdr:row>12</xdr:row>
      <xdr:rowOff>35278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1D070-550E-478B-A6CE-FF6CA3FD0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211666</xdr:colOff>
      <xdr:row>3</xdr:row>
      <xdr:rowOff>127000</xdr:rowOff>
    </xdr:from>
    <xdr:to>
      <xdr:col>10</xdr:col>
      <xdr:colOff>1270000</xdr:colOff>
      <xdr:row>11</xdr:row>
      <xdr:rowOff>169333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B2D374-15F8-4998-8B29-11D2ECE29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1552222</xdr:colOff>
      <xdr:row>4</xdr:row>
      <xdr:rowOff>35272</xdr:rowOff>
    </xdr:from>
    <xdr:to>
      <xdr:col>10</xdr:col>
      <xdr:colOff>3316111</xdr:colOff>
      <xdr:row>5</xdr:row>
      <xdr:rowOff>148166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F14817-8C58-E30D-6063-75CA34906318}"/>
            </a:ext>
          </a:extLst>
        </xdr:cNvPr>
        <xdr:cNvSpPr txBox="1"/>
      </xdr:nvSpPr>
      <xdr:spPr>
        <a:xfrm>
          <a:off x="11084278" y="952494"/>
          <a:ext cx="1763889" cy="317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Overdue</a:t>
          </a:r>
          <a:r>
            <a:rPr lang="en-US" sz="2000" b="1" baseline="0">
              <a:solidFill>
                <a:schemeClr val="bg1"/>
              </a:solidFill>
            </a:rPr>
            <a:t> Tasks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1972732</xdr:colOff>
      <xdr:row>5</xdr:row>
      <xdr:rowOff>18337</xdr:rowOff>
    </xdr:from>
    <xdr:to>
      <xdr:col>10</xdr:col>
      <xdr:colOff>2897010</xdr:colOff>
      <xdr:row>10</xdr:row>
      <xdr:rowOff>155222</xdr:rowOff>
    </xdr:to>
    <xdr:sp macro="" textlink="'Support Sheet'!K3">
      <xdr:nvSpPr>
        <xdr:cNvPr id="21" name="TextBox 20">
          <a:extLst>
            <a:ext uri="{FF2B5EF4-FFF2-40B4-BE49-F238E27FC236}">
              <a16:creationId xmlns:a16="http://schemas.microsoft.com/office/drawing/2014/main" id="{C6B3F774-262F-A150-B54C-327B8B1F095D}"/>
            </a:ext>
          </a:extLst>
        </xdr:cNvPr>
        <xdr:cNvSpPr txBox="1"/>
      </xdr:nvSpPr>
      <xdr:spPr>
        <a:xfrm>
          <a:off x="11504788" y="1140170"/>
          <a:ext cx="924278" cy="1159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70F8A05-D239-4884-91B9-FB61B821DDFC}" type="TxLink">
            <a:rPr lang="en-US" sz="8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8</a:t>
          </a:fld>
          <a:endParaRPr lang="en-US" sz="8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9405D-7BA7-4D2F-B8D6-221757C255E1}" name="Table1" displayName="Table1" ref="B14:K29" totalsRowShown="0" headerRowDxfId="16" headerRowCellStyle="Normal 2">
  <autoFilter ref="B14:K29" xr:uid="{4D19405D-7BA7-4D2F-B8D6-221757C255E1}"/>
  <tableColumns count="10">
    <tableColumn id="1" xr3:uid="{53BA1ADF-9C71-4388-844A-523F7BC67C14}" name="Task ID" dataDxfId="15"/>
    <tableColumn id="2" xr3:uid="{48A967F0-94DA-4881-BC89-0BE8AF2BFEB0}" name="Task Name"/>
    <tableColumn id="3" xr3:uid="{390C247E-F8B0-453E-B39E-C2A5D19F2FE8}" name="Team"/>
    <tableColumn id="4" xr3:uid="{6B569940-8822-4BEE-B065-AD953F1C18F8}" name="Task Owner"/>
    <tableColumn id="5" xr3:uid="{D1D96352-43E3-4626-8175-9495BF4D0013}" name="Start Date" dataDxfId="14"/>
    <tableColumn id="6" xr3:uid="{9ECC08BE-9DA3-4762-B6E6-D10102E0E559}" name="Due Date" dataDxfId="13"/>
    <tableColumn id="7" xr3:uid="{CDD30BFF-AD99-4B4F-98E0-01F6777C6B38}" name="Task Duration" dataDxfId="12">
      <calculatedColumnFormula>Table1[[#This Row],[Due Date]]-Table1[[#This Row],[Start Date]]</calculatedColumnFormula>
    </tableColumn>
    <tableColumn id="8" xr3:uid="{75C74665-4E21-404B-B8B2-3895ACFC871E}" name="Status" dataDxfId="11"/>
    <tableColumn id="9" xr3:uid="{8A5D449E-699A-4198-872E-D43686B6ADFA}" name="Overdue?" dataDxfId="10">
      <calculatedColumnFormula>AND(Table1[[#This Row],[Status]]&lt;&gt;"Completed",Table1[[#This Row],[Due Date]]&lt;TODAY())</calculatedColumnFormula>
    </tableColumn>
    <tableColumn id="10" xr3:uid="{A84105D3-B029-4293-AF7F-42CB8A860F20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56E0-76AA-174E-ACC1-F9D757CC725B}">
  <dimension ref="B3:D18"/>
  <sheetViews>
    <sheetView showGridLines="0" zoomScale="110" zoomScaleNormal="110" workbookViewId="0">
      <selection activeCell="C11" sqref="C11"/>
    </sheetView>
  </sheetViews>
  <sheetFormatPr defaultColWidth="10.83203125" defaultRowHeight="16" x14ac:dyDescent="0.4"/>
  <cols>
    <col min="1" max="1" width="10.83203125" style="9"/>
    <col min="2" max="2" width="8.5" style="9" customWidth="1"/>
    <col min="3" max="3" width="95.6640625" style="9" customWidth="1"/>
    <col min="4" max="4" width="9.5" style="9" customWidth="1"/>
    <col min="5" max="16384" width="10.83203125" style="9"/>
  </cols>
  <sheetData>
    <row r="3" spans="2:4" ht="78" x14ac:dyDescent="0.4">
      <c r="B3" s="6"/>
      <c r="C3" s="7" t="s">
        <v>78</v>
      </c>
      <c r="D3" s="8"/>
    </row>
    <row r="4" spans="2:4" ht="42" customHeight="1" x14ac:dyDescent="0.4">
      <c r="B4" s="10"/>
      <c r="C4" s="11"/>
      <c r="D4" s="12"/>
    </row>
    <row r="5" spans="2:4" ht="32" customHeight="1" x14ac:dyDescent="0.4">
      <c r="B5" s="10"/>
      <c r="C5" s="11"/>
      <c r="D5" s="12"/>
    </row>
    <row r="6" spans="2:4" ht="11" customHeight="1" x14ac:dyDescent="0.4">
      <c r="B6" s="10"/>
      <c r="C6" s="13"/>
      <c r="D6" s="12"/>
    </row>
    <row r="7" spans="2:4" ht="21" x14ac:dyDescent="0.5">
      <c r="B7" s="10"/>
      <c r="C7" s="14" t="s">
        <v>71</v>
      </c>
      <c r="D7" s="12"/>
    </row>
    <row r="8" spans="2:4" ht="11" customHeight="1" x14ac:dyDescent="0.4">
      <c r="B8" s="10"/>
      <c r="C8" s="13"/>
      <c r="D8" s="12"/>
    </row>
    <row r="9" spans="2:4" s="18" customFormat="1" ht="26" x14ac:dyDescent="0.4">
      <c r="B9" s="15"/>
      <c r="C9" s="16" t="s">
        <v>72</v>
      </c>
      <c r="D9" s="17"/>
    </row>
    <row r="10" spans="2:4" x14ac:dyDescent="0.4">
      <c r="B10" s="10"/>
      <c r="C10" s="13"/>
      <c r="D10" s="12"/>
    </row>
    <row r="11" spans="2:4" ht="18.5" x14ac:dyDescent="0.45">
      <c r="B11" s="10"/>
      <c r="C11" s="19" t="s">
        <v>73</v>
      </c>
      <c r="D11" s="12"/>
    </row>
    <row r="12" spans="2:4" ht="6" customHeight="1" x14ac:dyDescent="0.4">
      <c r="B12" s="10"/>
      <c r="C12" s="13"/>
      <c r="D12" s="12"/>
    </row>
    <row r="13" spans="2:4" ht="18.5" x14ac:dyDescent="0.45">
      <c r="B13" s="10"/>
      <c r="C13" s="20" t="s">
        <v>74</v>
      </c>
      <c r="D13" s="12"/>
    </row>
    <row r="14" spans="2:4" ht="8" customHeight="1" x14ac:dyDescent="0.4">
      <c r="B14" s="10"/>
      <c r="C14" s="13"/>
      <c r="D14" s="12"/>
    </row>
    <row r="15" spans="2:4" x14ac:dyDescent="0.4">
      <c r="B15" s="10"/>
      <c r="C15" s="21" t="s">
        <v>75</v>
      </c>
      <c r="D15" s="12"/>
    </row>
    <row r="16" spans="2:4" x14ac:dyDescent="0.4">
      <c r="B16" s="10"/>
      <c r="C16" s="13" t="s">
        <v>76</v>
      </c>
      <c r="D16" s="12"/>
    </row>
    <row r="17" spans="2:4" ht="32" x14ac:dyDescent="0.4">
      <c r="B17" s="10"/>
      <c r="C17" s="22" t="s">
        <v>77</v>
      </c>
      <c r="D17" s="12"/>
    </row>
    <row r="18" spans="2:4" x14ac:dyDescent="0.4">
      <c r="B18" s="23"/>
      <c r="C18" s="24"/>
      <c r="D18" s="25"/>
    </row>
  </sheetData>
  <sheetProtection algorithmName="SHA-512" hashValue="zwwAiLVQ4ObB2URpFUW07rgCsWZ6Uj8PRKvsewONocJsCSaKAooP+cvBYhXut+3VVqobFnklKRyrJcRByIKoKQ==" saltValue="XyrmH8SG+r5Rc89ogrCvpg==" spinCount="100000" sheet="1" objects="1" scenarios="1"/>
  <hyperlinks>
    <hyperlink ref="C9" r:id="rId1" display="Get our VBA &amp; Macros Course" xr:uid="{094276ED-8C60-794A-802A-E39D1B6A24F2}"/>
    <hyperlink ref="C11" location="Dashboard!A1" display="Go to Data Here" xr:uid="{B3D4263D-A5AD-B749-91D5-2DA9C1614126}"/>
    <hyperlink ref="C13" r:id="rId2" display="Made by Kenji Explains" xr:uid="{754CA44A-D904-9543-B440-C8A3F3C5924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29"/>
  <sheetViews>
    <sheetView showGridLines="0" tabSelected="1" zoomScale="90" zoomScaleNormal="90" workbookViewId="0">
      <pane ySplit="14" topLeftCell="A15" activePane="bottomLeft" state="frozen"/>
      <selection pane="bottomLeft" activeCell="K21" sqref="K21"/>
    </sheetView>
  </sheetViews>
  <sheetFormatPr defaultColWidth="11.1640625" defaultRowHeight="16" x14ac:dyDescent="0.4"/>
  <cols>
    <col min="1" max="1" width="3.5" customWidth="1"/>
    <col min="2" max="2" width="8.33203125" style="1" customWidth="1"/>
    <col min="3" max="3" width="28.83203125" customWidth="1"/>
    <col min="5" max="5" width="14.1640625" bestFit="1" customWidth="1"/>
    <col min="8" max="8" width="13.33203125" customWidth="1"/>
    <col min="9" max="9" width="12.1640625" style="1" customWidth="1"/>
    <col min="11" max="11" width="43.75" bestFit="1" customWidth="1"/>
  </cols>
  <sheetData>
    <row r="1" spans="2:11" ht="24" customHeight="1" x14ac:dyDescent="0.4"/>
    <row r="14" spans="2:11" x14ac:dyDescent="0.4">
      <c r="B14" s="4" t="s">
        <v>1</v>
      </c>
      <c r="C14" s="4" t="s">
        <v>0</v>
      </c>
      <c r="D14" s="4" t="s">
        <v>70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 x14ac:dyDescent="0.4">
      <c r="B15" s="1" t="s">
        <v>13</v>
      </c>
      <c r="C15" t="s">
        <v>14</v>
      </c>
      <c r="D15" t="s">
        <v>65</v>
      </c>
      <c r="E15" t="s">
        <v>15</v>
      </c>
      <c r="F15" s="2">
        <v>45902</v>
      </c>
      <c r="G15" s="2">
        <v>45920</v>
      </c>
      <c r="H15" s="27">
        <f>Table1[[#This Row],[Due Date]]-Table1[[#This Row],[Start Date]]</f>
        <v>18</v>
      </c>
      <c r="I15" s="1" t="s">
        <v>16</v>
      </c>
      <c r="J15" s="28" t="b">
        <f ca="1">AND(Table1[[#This Row],[Status]]&lt;&gt;"Completed",Table1[[#This Row],[Due Date]]&lt;TODAY())</f>
        <v>0</v>
      </c>
      <c r="K15" t="s">
        <v>17</v>
      </c>
    </row>
    <row r="16" spans="2:11" x14ac:dyDescent="0.4">
      <c r="B16" s="1" t="s">
        <v>18</v>
      </c>
      <c r="C16" t="s">
        <v>62</v>
      </c>
      <c r="D16" t="s">
        <v>57</v>
      </c>
      <c r="E16" t="s">
        <v>15</v>
      </c>
      <c r="F16" s="2">
        <v>45905</v>
      </c>
      <c r="G16" s="2">
        <v>45925</v>
      </c>
      <c r="H16" s="27">
        <f>Table1[[#This Row],[Due Date]]-Table1[[#This Row],[Start Date]]</f>
        <v>20</v>
      </c>
      <c r="I16" s="1" t="s">
        <v>16</v>
      </c>
      <c r="J16" s="28" t="b">
        <f ca="1">AND(Table1[[#This Row],[Status]]&lt;&gt;"Completed",Table1[[#This Row],[Due Date]]&lt;TODAY())</f>
        <v>0</v>
      </c>
      <c r="K16" t="s">
        <v>20</v>
      </c>
    </row>
    <row r="17" spans="2:11" x14ac:dyDescent="0.4">
      <c r="B17" s="1" t="s">
        <v>21</v>
      </c>
      <c r="C17" t="s">
        <v>22</v>
      </c>
      <c r="D17" t="s">
        <v>57</v>
      </c>
      <c r="E17" t="s">
        <v>19</v>
      </c>
      <c r="F17" s="2">
        <v>45848</v>
      </c>
      <c r="G17" s="2">
        <v>45874</v>
      </c>
      <c r="H17" s="27">
        <f>Table1[[#This Row],[Due Date]]-Table1[[#This Row],[Start Date]]</f>
        <v>26</v>
      </c>
      <c r="I17" s="1" t="s">
        <v>8</v>
      </c>
      <c r="J17" s="28" t="b">
        <f ca="1">AND(Table1[[#This Row],[Status]]&lt;&gt;"Completed",Table1[[#This Row],[Due Date]]&lt;TODAY())</f>
        <v>1</v>
      </c>
      <c r="K17" t="s">
        <v>23</v>
      </c>
    </row>
    <row r="18" spans="2:11" x14ac:dyDescent="0.4">
      <c r="B18" s="1" t="s">
        <v>24</v>
      </c>
      <c r="C18" t="s">
        <v>25</v>
      </c>
      <c r="D18" t="s">
        <v>65</v>
      </c>
      <c r="E18" t="s">
        <v>15</v>
      </c>
      <c r="F18" s="2">
        <v>45912</v>
      </c>
      <c r="G18" s="2">
        <v>45930</v>
      </c>
      <c r="H18" s="27">
        <f>Table1[[#This Row],[Due Date]]-Table1[[#This Row],[Start Date]]</f>
        <v>18</v>
      </c>
      <c r="I18" s="1" t="s">
        <v>16</v>
      </c>
      <c r="J18" s="28" t="b">
        <f ca="1">AND(Table1[[#This Row],[Status]]&lt;&gt;"Completed",Table1[[#This Row],[Due Date]]&lt;TODAY())</f>
        <v>0</v>
      </c>
      <c r="K18" t="s">
        <v>27</v>
      </c>
    </row>
    <row r="19" spans="2:11" x14ac:dyDescent="0.4">
      <c r="B19" s="1" t="s">
        <v>28</v>
      </c>
      <c r="C19" t="s">
        <v>29</v>
      </c>
      <c r="D19" t="s">
        <v>57</v>
      </c>
      <c r="E19" t="s">
        <v>26</v>
      </c>
      <c r="F19" s="2">
        <v>45915</v>
      </c>
      <c r="G19" s="2">
        <v>45940</v>
      </c>
      <c r="H19" s="27">
        <f>Table1[[#This Row],[Due Date]]-Table1[[#This Row],[Start Date]]</f>
        <v>25</v>
      </c>
      <c r="I19" s="1" t="s">
        <v>8</v>
      </c>
      <c r="J19" s="28" t="b">
        <f ca="1">AND(Table1[[#This Row],[Status]]&lt;&gt;"Completed",Table1[[#This Row],[Due Date]]&lt;TODAY())</f>
        <v>1</v>
      </c>
      <c r="K19" t="s">
        <v>31</v>
      </c>
    </row>
    <row r="20" spans="2:11" x14ac:dyDescent="0.4">
      <c r="B20" s="1" t="s">
        <v>32</v>
      </c>
      <c r="C20" t="s">
        <v>33</v>
      </c>
      <c r="D20" t="s">
        <v>66</v>
      </c>
      <c r="E20" t="s">
        <v>19</v>
      </c>
      <c r="F20" s="2">
        <v>45918</v>
      </c>
      <c r="G20" s="2">
        <v>45945</v>
      </c>
      <c r="H20" s="27">
        <f>Table1[[#This Row],[Due Date]]-Table1[[#This Row],[Start Date]]</f>
        <v>27</v>
      </c>
      <c r="I20" s="1" t="s">
        <v>8</v>
      </c>
      <c r="J20" s="28" t="b">
        <f ca="1">AND(Table1[[#This Row],[Status]]&lt;&gt;"Completed",Table1[[#This Row],[Due Date]]&lt;TODAY())</f>
        <v>1</v>
      </c>
      <c r="K20" t="s">
        <v>35</v>
      </c>
    </row>
    <row r="21" spans="2:11" x14ac:dyDescent="0.4">
      <c r="B21" s="1" t="s">
        <v>36</v>
      </c>
      <c r="C21" t="s">
        <v>63</v>
      </c>
      <c r="D21" t="s">
        <v>66</v>
      </c>
      <c r="E21" t="s">
        <v>30</v>
      </c>
      <c r="F21" s="2">
        <v>45889</v>
      </c>
      <c r="G21" s="2">
        <v>45896</v>
      </c>
      <c r="H21" s="27">
        <f>Table1[[#This Row],[Due Date]]-Table1[[#This Row],[Start Date]]</f>
        <v>7</v>
      </c>
      <c r="I21" s="1" t="s">
        <v>9</v>
      </c>
      <c r="J21" s="28" t="b">
        <f ca="1">AND(Table1[[#This Row],[Status]]&lt;&gt;"Completed",Table1[[#This Row],[Due Date]]&lt;TODAY())</f>
        <v>1</v>
      </c>
      <c r="K21" t="s">
        <v>37</v>
      </c>
    </row>
    <row r="22" spans="2:11" x14ac:dyDescent="0.4">
      <c r="B22" s="1" t="s">
        <v>38</v>
      </c>
      <c r="C22" t="s">
        <v>39</v>
      </c>
      <c r="D22" t="s">
        <v>40</v>
      </c>
      <c r="E22" t="s">
        <v>30</v>
      </c>
      <c r="F22" s="2">
        <v>45922</v>
      </c>
      <c r="G22" s="2">
        <v>45942</v>
      </c>
      <c r="H22" s="27">
        <f>Table1[[#This Row],[Due Date]]-Table1[[#This Row],[Start Date]]</f>
        <v>20</v>
      </c>
      <c r="I22" s="1" t="s">
        <v>8</v>
      </c>
      <c r="J22" s="28" t="b">
        <f ca="1">AND(Table1[[#This Row],[Status]]&lt;&gt;"Completed",Table1[[#This Row],[Due Date]]&lt;TODAY())</f>
        <v>1</v>
      </c>
      <c r="K22" t="s">
        <v>41</v>
      </c>
    </row>
    <row r="23" spans="2:11" x14ac:dyDescent="0.4">
      <c r="B23" s="1" t="s">
        <v>42</v>
      </c>
      <c r="C23" t="s">
        <v>43</v>
      </c>
      <c r="D23" t="s">
        <v>66</v>
      </c>
      <c r="E23" t="s">
        <v>15</v>
      </c>
      <c r="F23" s="2">
        <v>45923</v>
      </c>
      <c r="G23" s="2">
        <v>45950</v>
      </c>
      <c r="H23" s="27">
        <f>Table1[[#This Row],[Due Date]]-Table1[[#This Row],[Start Date]]</f>
        <v>27</v>
      </c>
      <c r="I23" s="1" t="s">
        <v>16</v>
      </c>
      <c r="J23" s="28" t="b">
        <f ca="1">AND(Table1[[#This Row],[Status]]&lt;&gt;"Completed",Table1[[#This Row],[Due Date]]&lt;TODAY())</f>
        <v>0</v>
      </c>
      <c r="K23" t="s">
        <v>44</v>
      </c>
    </row>
    <row r="24" spans="2:11" x14ac:dyDescent="0.4">
      <c r="B24" s="1" t="s">
        <v>45</v>
      </c>
      <c r="C24" t="s">
        <v>64</v>
      </c>
      <c r="D24" t="s">
        <v>66</v>
      </c>
      <c r="E24" t="s">
        <v>15</v>
      </c>
      <c r="F24" s="2">
        <v>45924</v>
      </c>
      <c r="G24" s="2">
        <v>45935</v>
      </c>
      <c r="H24" s="27">
        <f>Table1[[#This Row],[Due Date]]-Table1[[#This Row],[Start Date]]</f>
        <v>11</v>
      </c>
      <c r="I24" s="1" t="s">
        <v>8</v>
      </c>
      <c r="J24" s="28" t="b">
        <f ca="1">AND(Table1[[#This Row],[Status]]&lt;&gt;"Completed",Table1[[#This Row],[Due Date]]&lt;TODAY())</f>
        <v>1</v>
      </c>
      <c r="K24" t="s">
        <v>46</v>
      </c>
    </row>
    <row r="25" spans="2:11" x14ac:dyDescent="0.4">
      <c r="B25" s="1" t="s">
        <v>47</v>
      </c>
      <c r="C25" t="s">
        <v>48</v>
      </c>
      <c r="D25" t="s">
        <v>65</v>
      </c>
      <c r="E25" t="s">
        <v>19</v>
      </c>
      <c r="F25" s="2">
        <v>45925</v>
      </c>
      <c r="G25" s="2">
        <v>45932</v>
      </c>
      <c r="H25" s="27">
        <f>Table1[[#This Row],[Due Date]]-Table1[[#This Row],[Start Date]]</f>
        <v>7</v>
      </c>
      <c r="I25" s="1" t="s">
        <v>16</v>
      </c>
      <c r="J25" s="28" t="b">
        <f ca="1">AND(Table1[[#This Row],[Status]]&lt;&gt;"Completed",Table1[[#This Row],[Due Date]]&lt;TODAY())</f>
        <v>0</v>
      </c>
      <c r="K25" t="s">
        <v>49</v>
      </c>
    </row>
    <row r="26" spans="2:11" x14ac:dyDescent="0.4">
      <c r="B26" s="1" t="s">
        <v>50</v>
      </c>
      <c r="C26" t="s">
        <v>67</v>
      </c>
      <c r="D26" s="3" t="s">
        <v>57</v>
      </c>
      <c r="E26" t="s">
        <v>15</v>
      </c>
      <c r="F26" s="2">
        <v>45926</v>
      </c>
      <c r="G26" s="2">
        <v>45960</v>
      </c>
      <c r="H26" s="27">
        <f>Table1[[#This Row],[Due Date]]-Table1[[#This Row],[Start Date]]</f>
        <v>34</v>
      </c>
      <c r="I26" s="1" t="s">
        <v>16</v>
      </c>
      <c r="J26" s="28" t="b">
        <f ca="1">AND(Table1[[#This Row],[Status]]&lt;&gt;"Completed",Table1[[#This Row],[Due Date]]&lt;TODAY())</f>
        <v>0</v>
      </c>
      <c r="K26" t="s">
        <v>51</v>
      </c>
    </row>
    <row r="27" spans="2:11" x14ac:dyDescent="0.4">
      <c r="B27" s="1" t="s">
        <v>52</v>
      </c>
      <c r="C27" t="s">
        <v>53</v>
      </c>
      <c r="D27" s="3" t="s">
        <v>57</v>
      </c>
      <c r="E27" t="s">
        <v>34</v>
      </c>
      <c r="F27" s="2">
        <v>45927</v>
      </c>
      <c r="G27" s="2">
        <v>45937</v>
      </c>
      <c r="H27" s="27">
        <f>Table1[[#This Row],[Due Date]]-Table1[[#This Row],[Start Date]]</f>
        <v>10</v>
      </c>
      <c r="I27" s="1" t="s">
        <v>8</v>
      </c>
      <c r="J27" s="28" t="b">
        <f ca="1">AND(Table1[[#This Row],[Status]]&lt;&gt;"Completed",Table1[[#This Row],[Due Date]]&lt;TODAY())</f>
        <v>1</v>
      </c>
      <c r="K27" t="s">
        <v>54</v>
      </c>
    </row>
    <row r="28" spans="2:11" x14ac:dyDescent="0.4">
      <c r="B28" s="1" t="s">
        <v>55</v>
      </c>
      <c r="C28" t="s">
        <v>56</v>
      </c>
      <c r="D28" t="s">
        <v>57</v>
      </c>
      <c r="E28" t="s">
        <v>34</v>
      </c>
      <c r="F28" s="2">
        <v>45928</v>
      </c>
      <c r="G28" s="2">
        <v>45948</v>
      </c>
      <c r="H28" s="27">
        <f>Table1[[#This Row],[Due Date]]-Table1[[#This Row],[Start Date]]</f>
        <v>20</v>
      </c>
      <c r="I28" s="1" t="s">
        <v>16</v>
      </c>
      <c r="J28" s="28" t="b">
        <f ca="1">AND(Table1[[#This Row],[Status]]&lt;&gt;"Completed",Table1[[#This Row],[Due Date]]&lt;TODAY())</f>
        <v>0</v>
      </c>
      <c r="K28" t="s">
        <v>58</v>
      </c>
    </row>
    <row r="29" spans="2:11" x14ac:dyDescent="0.4">
      <c r="B29" s="1" t="s">
        <v>59</v>
      </c>
      <c r="C29" t="s">
        <v>60</v>
      </c>
      <c r="D29" t="s">
        <v>65</v>
      </c>
      <c r="E29" t="s">
        <v>34</v>
      </c>
      <c r="F29" s="2">
        <v>45929</v>
      </c>
      <c r="G29" s="2">
        <v>45934</v>
      </c>
      <c r="H29" s="27">
        <f>Table1[[#This Row],[Due Date]]-Table1[[#This Row],[Start Date]]</f>
        <v>5</v>
      </c>
      <c r="I29" s="1" t="s">
        <v>9</v>
      </c>
      <c r="J29" s="28" t="b">
        <f ca="1">AND(Table1[[#This Row],[Status]]&lt;&gt;"Completed",Table1[[#This Row],[Due Date]]&lt;TODAY())</f>
        <v>1</v>
      </c>
      <c r="K29" t="s">
        <v>61</v>
      </c>
    </row>
  </sheetData>
  <conditionalFormatting sqref="I15:I29">
    <cfRule type="cellIs" dxfId="6" priority="4" operator="equal">
      <formula>"Completed"</formula>
    </cfRule>
    <cfRule type="cellIs" dxfId="5" priority="3" operator="equal">
      <formula>"In Progress"</formula>
    </cfRule>
    <cfRule type="cellIs" dxfId="4" priority="2" operator="equal">
      <formula>"Not Started"</formula>
    </cfRule>
  </conditionalFormatting>
  <conditionalFormatting sqref="J15:J29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6E890ED-DF34-49A4-856B-8916BC8C782F}">
          <x14:formula1>
            <xm:f>'Support Sheet'!$E$3:$E$7</xm:f>
          </x14:formula1>
          <xm:sqref>E15:E29</xm:sqref>
        </x14:dataValidation>
        <x14:dataValidation type="list" allowBlank="1" showInputMessage="1" showErrorMessage="1" xr:uid="{5E11A444-8C8D-4635-812A-AF4D0A6D9D24}">
          <x14:formula1>
            <xm:f>'Support Sheet'!$H$3:$H$6</xm:f>
          </x14:formula1>
          <xm:sqref>D15:D29</xm:sqref>
        </x14:dataValidation>
        <x14:dataValidation type="list" allowBlank="1" showInputMessage="1" showErrorMessage="1" xr:uid="{A01DF014-4801-4559-9B40-D42F35B4EF8A}">
          <x14:formula1>
            <xm:f>'Support Sheet'!$B$3:$B$5</xm:f>
          </x14:formula1>
          <xm:sqref>I15:I29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>
      <selection activeCell="K3" sqref="K3"/>
    </sheetView>
  </sheetViews>
  <sheetFormatPr defaultColWidth="11.1640625" defaultRowHeight="16" x14ac:dyDescent="0.4"/>
  <cols>
    <col min="1" max="1" width="3.33203125" customWidth="1"/>
    <col min="3" max="3" width="6.1640625" bestFit="1" customWidth="1"/>
    <col min="4" max="4" width="7.83203125" customWidth="1"/>
    <col min="5" max="5" width="14.1640625" bestFit="1" customWidth="1"/>
    <col min="6" max="6" width="6.1640625" style="1" bestFit="1" customWidth="1"/>
    <col min="7" max="7" width="7.83203125" customWidth="1"/>
    <col min="9" max="9" width="7.58203125" bestFit="1" customWidth="1"/>
    <col min="10" max="10" width="7.83203125" customWidth="1"/>
    <col min="11" max="11" width="8" bestFit="1" customWidth="1"/>
  </cols>
  <sheetData>
    <row r="2" spans="2:11" x14ac:dyDescent="0.4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4">
      <c r="B3" t="s">
        <v>16</v>
      </c>
      <c r="C3" s="1">
        <f>COUNTIF(Table1[Status],'Support Sheet'!B3)</f>
        <v>7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COUNTIF(Table1[Overdue?],TRUE)</f>
        <v>8</v>
      </c>
    </row>
    <row r="4" spans="2:11" x14ac:dyDescent="0.4">
      <c r="B4" t="s">
        <v>8</v>
      </c>
      <c r="C4" s="1">
        <f>COUNTIF(Table1[Status],'Support Sheet'!B4)</f>
        <v>6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COUNTIF(Table1[Team],'Support Sheet'!H4)</f>
        <v>6</v>
      </c>
    </row>
    <row r="5" spans="2:11" x14ac:dyDescent="0.4">
      <c r="B5" t="s">
        <v>9</v>
      </c>
      <c r="C5" s="1">
        <f>COUNTIF(Table1[Status],'Support Sheet'!B5)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 x14ac:dyDescent="0.4">
      <c r="B6" t="s">
        <v>69</v>
      </c>
      <c r="C6" s="26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1</v>
      </c>
    </row>
    <row r="7" spans="2:11" x14ac:dyDescent="0.4">
      <c r="E7" t="s">
        <v>34</v>
      </c>
      <c r="F7" s="1">
        <f>COUNTIF(Table1[Task Owner],'Support Sheet'!E7)</f>
        <v>3</v>
      </c>
      <c r="I7" s="1"/>
    </row>
    <row r="10" spans="2:11" x14ac:dyDescent="0.4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Strawberry 🍓 🍓🍓</cp:lastModifiedBy>
  <dcterms:created xsi:type="dcterms:W3CDTF">2025-09-19T00:51:58Z</dcterms:created>
  <dcterms:modified xsi:type="dcterms:W3CDTF">2026-02-11T01:43:25Z</dcterms:modified>
</cp:coreProperties>
</file>